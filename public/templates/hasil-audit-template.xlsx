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firdsm/Vibe Coding/Audit Evidence Review System/public/templates/"/>
    </mc:Choice>
  </mc:AlternateContent>
  <xr:revisionPtr revIDLastSave="0" documentId="13_ncr:1_{E6CAB288-74DB-D844-9844-55AF63687AD7}" xr6:coauthVersionLast="47" xr6:coauthVersionMax="47" xr10:uidLastSave="{00000000-0000-0000-0000-000000000000}"/>
  <bookViews>
    <workbookView xWindow="0" yWindow="660" windowWidth="30240" windowHeight="18980" xr2:uid="{09E66800-E25F-B64E-9071-1DA0EA314907}"/>
  </bookViews>
  <sheets>
    <sheet name="Kertas Kerja" sheetId="3" r:id="rId1"/>
  </sheets>
  <definedNames>
    <definedName name="_xlnm.Print_Area" localSheetId="0">'Kertas Kerja'!$A$1:$L$42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2" i="3" l="1"/>
  <c r="I41" i="3"/>
  <c r="I39" i="3"/>
  <c r="I38" i="3"/>
  <c r="I37" i="3"/>
  <c r="I36" i="3"/>
  <c r="I33" i="3"/>
  <c r="I32" i="3"/>
  <c r="I34" i="3"/>
  <c r="I31" i="3"/>
  <c r="I29" i="3"/>
  <c r="I28" i="3"/>
  <c r="I27" i="3"/>
  <c r="I26" i="3"/>
  <c r="I25" i="3"/>
  <c r="I24" i="3"/>
  <c r="I22" i="3"/>
  <c r="I20" i="3"/>
  <c r="I21" i="3"/>
  <c r="I19" i="3"/>
  <c r="I18" i="3"/>
  <c r="I8" i="3"/>
  <c r="I16" i="3"/>
  <c r="I15" i="3"/>
  <c r="I14" i="3"/>
  <c r="I13" i="3"/>
  <c r="I12" i="3"/>
  <c r="I11" i="3"/>
  <c r="I10" i="3"/>
  <c r="I9" i="3"/>
  <c r="G41" i="3"/>
  <c r="F40" i="3" s="1"/>
  <c r="E39" i="3"/>
  <c r="E41" i="3" s="1"/>
  <c r="E38" i="3"/>
  <c r="E37" i="3"/>
  <c r="G36" i="3"/>
  <c r="F35" i="3" s="1"/>
  <c r="E36" i="3"/>
  <c r="E34" i="3"/>
  <c r="E33" i="3"/>
  <c r="E32" i="3"/>
  <c r="G31" i="3"/>
  <c r="F30" i="3" s="1"/>
  <c r="E31" i="3"/>
  <c r="G24" i="3"/>
  <c r="F23" i="3" s="1"/>
  <c r="G18" i="3"/>
  <c r="F17" i="3" s="1"/>
  <c r="G8" i="3"/>
  <c r="F7" i="3" s="1"/>
  <c r="H40" i="3" l="1"/>
  <c r="H35" i="3"/>
  <c r="H30" i="3"/>
  <c r="H23" i="3"/>
  <c r="H17" i="3"/>
  <c r="H7" i="3"/>
  <c r="G6" i="3"/>
  <c r="I6" i="3" l="1"/>
  <c r="K6" i="3" s="1"/>
</calcChain>
</file>

<file path=xl/sharedStrings.xml><?xml version="1.0" encoding="utf-8"?>
<sst xmlns="http://schemas.openxmlformats.org/spreadsheetml/2006/main" count="100" uniqueCount="81">
  <si>
    <t>KERTAS KERJA PENGINPUTAN PENILAIAN PEKPPP MANDIRI KABUPATEN JEMBER</t>
  </si>
  <si>
    <t xml:space="preserve">  NO</t>
  </si>
  <si>
    <t>INDIKATOR</t>
  </si>
  <si>
    <t>KATEGORI PENILAIAN PER ASPEK</t>
  </si>
  <si>
    <t>LINK DOKUMEN PENDUKUNG</t>
  </si>
  <si>
    <t>F-01</t>
  </si>
  <si>
    <t>F-02</t>
  </si>
  <si>
    <t>F-03</t>
  </si>
  <si>
    <t>NILAI AKHIR</t>
  </si>
  <si>
    <t>NILAI</t>
  </si>
  <si>
    <t>F-01 AKHIR</t>
  </si>
  <si>
    <t xml:space="preserve">NILAI </t>
  </si>
  <si>
    <t>F-02 AKHIR</t>
  </si>
  <si>
    <t>I. KEBIJAKAN PELAYANAN</t>
  </si>
  <si>
    <t>Tersedia Standar Pelayanan (SP) sesuai dengan ketentuan peraturan perundang-undangan yang berlaku</t>
  </si>
  <si>
    <t>Skala nilai:
0. Tidak tersedia Standar Pelayanan.
1. Tersedia SP namun tidak memenuhi 14 komponen.
2. Tersedia SP yang memenuhi 14 komponen.
3. Tersedia SP yang memenuhi 14 komponen dan dilakukan penetapan.
4. Tersedia SP yang memenuhi 14 komponen, melibatkan masyarakat dalam penyusunan SP, dan dilakukan penetapan.
5. Tersedia SP yang memenuhi 14 komponen, melibatkan masyarakat dalam penyusunan SP, dilakukan penetapan, dan dilakukan monev.</t>
  </si>
  <si>
    <t>https://drive.google.com/drive/folders/16qjiw5ihSUCgD0D0u7OXH5bBYiYdZEer?usp=drive_link</t>
  </si>
  <si>
    <t>Proses penyusunan dan perubahan SP telah melibatkan unsur masyarakat.</t>
  </si>
  <si>
    <t>Skala Nilai:
0. Penyusunan SP tanpa melibatkan unsur masyarakat dan pihak terkait (stakeholder).
1. Penyusunan SP telah melibatkan minimal 1 unsur masyarakat.
2. Penyusunan SP telah melibatkan minimal 2 unsur masyarakat.
3. Penyusunan SP telah melibatkan minimal 3 unsur masyarakat.
4. Penyusunan SP telah melibatkan minimal 4 unsur masyarakat.
5. Penyusunan SP telah melibatkan lebih dari 4 unsur masyarakat.</t>
  </si>
  <si>
    <t>Jumlah media publikasi untuk komponen service delivery</t>
  </si>
  <si>
    <t>Skala Nilai:
0. Tidak ada publikasi SP.
1. Tersedia publikasi SP hanya sebagian dari komponen service delivery baik pada media cetak/non elektronik maupun media elektronik.
2. Tersedia publikasi SP seluruh komponen service delivery pada 2 atau lebih media publikasi namun belum dipublikasikan pada SIPP Nasional.
3. Tersedia publikasi SP seluruh komponen service delivery pada 2 media publikasi dan pada SIPP Nasional.
4. Tersedia publikasi SP seluruh komponen service delivery pada 3 media publikasi dan pada SIPP Nasional.
5. Tersedia publikasi SP seluruh komponen service delivery pada 4 atau lebih media publikasi dan pada SIPP Nasional.</t>
  </si>
  <si>
    <t>Telah dilakukan peninjauan ulang secara berkala terhadap Standar Pelayanan</t>
  </si>
  <si>
    <t>Skala Nilai:
0. Tidak dilaksanakan peninjauan ulang secara berkala terhadap Standar Pelayanan.
1. Dilakukan peninjauan ulang 3 tahun atau lebih terhadap seluruh jenis layanan.
2. Dilakukan peninjauan ulang 2 tahun sekali terhadap sebagian jenis layanan.
3. Dilakukan peninjauan ulang 2 tahun sekali terhadap seluruh jenis layanan.
4. Dilakukan peninjauan ulang 1 tahun sekali atau lebih cepat terhadap sebagian jenis layanan.
5. Dilakukan peninjauan ulang 1 tahun sekali atau lebih cepat terhadap seluruh jenis layanan.</t>
  </si>
  <si>
    <t>Pemenuhan siklus Maklumat Pelayanan (ketersediaan, penetapan, dan publikasi)</t>
  </si>
  <si>
    <t>Skala Nilai:
0. Tidak tersedia Maklumat Pelayanan
1. Tersedia Maklumat Pelayanan namun belum ditetapkan.
2. Tersedia Maklumat Pelayanan yang sudah ditetapkan namun isinya belum sesuai dengan peraturan perundangan yang berlaku.
3. Tersedia Maklumat Pelayanan yang sudah ditetapkan dan isinya telah sesuai dengan peraturan perundangan yang berlaku.
4. Tersedia Maklumat Pelayanan yang sudah ditetapkan, isinya telah sesuai dengan peraturan perundangan yang berlaku, dan dipublikasikan pada media non elektronik.
5. Tersedia Maklumat Pelayanan yang sudah ditetapkan, isinya telah sesuai dengan peraturan perundangan yang berlaku, dan dipublikasikan pada media non elektronik dan elektronik.</t>
  </si>
  <si>
    <t>SKM yang dilaksanakan sesuai dengan PermenPANRB</t>
  </si>
  <si>
    <t>Skala Nilai:
0. Belum melaksanakan SKM.
1. Sudah melaksanakan SKM namun tidak sesuai dengan PermenPANRB yang berlaku.
2. Sudah melaksanakan SKM sesuai dengan PermenPANRB yang berlaku.
3. Sudah melaksanakan SKM sesuai dengan PermenPANRB yang berlaku dan dipublikasikan pada media non-elektronik.
4. Sudah melaksanakan SKM sesuai dengan PermenPANRB yang berlaku dan dipublikasikan pada media non-elektronik dan elektronik.
5. Sudah melaksanakan SKM sesuai dengan PermenPANRB yang berlaku dan dipublikasikan pada media non-elektronik dan elektronik serta dilakukan tindak lanjut hasil SKM.</t>
  </si>
  <si>
    <t>Jumlah media publikasi hasil SKM</t>
  </si>
  <si>
    <t>Skala Nilai:
0. Tidak dipublikasikan.
1. SKM dipublikasikan pada 1 (satu) media publikasi.
2. SKM dipublikasikan pada 2 (dua) media publikasi.
3. SKM dipublikasikan pada 3 (tiga) media publikasi.
4. SKM dipublikasikan pada 4 (empat) media publikasi.
5. SKM dipublikasikan pada lebih dari 4 (empat) media publikasi lainnya.</t>
  </si>
  <si>
    <t>Persentase rencana tindak lanjut hasil SKM yang telah selesai ditindaklanjuti</t>
  </si>
  <si>
    <t>Skala Nilai:
0. Tidak ada rencana tindak lanjut SKM.
1. Ada rencana tindak lanjut tapi belum dilaksanakan.
2. Tindak lanjut hasil SKM dilaksanakan kurang dari 30%, dibuktikan dengan laporan pelaksanaannya.
3. Tindak lanjut hasil SKM dilaksanakan 30-80%, dibuktikan dengan laporan pelaksanaannya.
4. Tindak lanjut hasil SKM dilaksanakan lebih dari 80%, dibuktikan dengan laporan pelaksanaannya.
5. Tindak lanjut hasil SKM dilaksanakan 100%, dibuktikan dengan laporan pelaksanaannya.</t>
  </si>
  <si>
    <t>Kecepatan tindak lanjut hasil SKM seluruh jenis pelayanan</t>
  </si>
  <si>
    <t>Skala Nilai:
0. Rekomendasi hasil SKM tidak ditindaklanjuti.
1. Rekomendasi hasil SKM ditindaklanjuti seluruhnya 1 tahun setelah laporan SKM diterbitkan.
2. Rekomendasi hasil SKM ditindaklanjuti seluruhnya 9 bulan setelah laporan SKM diterbitkan.
3. Rekomendasi hasil SKM ditindaklanjuti seluruhnya 6 bulan setelah laporan SKM diterbitkan.
4. Rekomendasi hasil SKM ditindaklanjuti seluruhnya 3 bulan setelah laporan SKM diterbitkan. 
5. Rekomendasi hasil SKM ditindaklanjuti seluruhnya 1 bulan setelah laporan SKM diterbitkan.</t>
  </si>
  <si>
    <t>II. PROFESIONALISME SDM</t>
  </si>
  <si>
    <t>Tersedia waktu pelayanan yang memudahkan pengguna layanan</t>
  </si>
  <si>
    <t>Skala Nilai:
0. Tidak memiliki kebijakan jam pelayanan/kerja.
1. Memiliki kebijakan jam pelayanan/kerja.
2. Memiliki kebijakan jam pelayanan/kerja dan 1 unsur lainnya.
3. Memiliki kebijakan jam pelayanan/kerja dan 2 unsur lainnya.
4. Memiliki kebijakan jam pelayanan/kerja dan 3 unsur lainnya.
5. Memiliki kebijakan jam pelayanan/kerja dan 4 atau lebih unsur lainnya.</t>
  </si>
  <si>
    <t>Tersedia Kode Etik dan Kode Perilaku Pelaksana dan/atau Budaya Pelayanan di lingkungan instansi</t>
  </si>
  <si>
    <t>Skala Nilai:
0. Tidak tersedia aturan kode etik dan kode perilaku.
1. Aturan kode etik dan kode perilaku Pelaksana Pelayanan hanya meliputi nilai dasar hak dan kewajiban.
2. Aturan kode etik dan kode perilaku Pelaksana Pelayanan meliputi nilai dasar hak kewajiban dan 1 (satu) unsur lainnya.
3. Aturan kode etik dan kode perilaku Pelaksan Pelayanan meliputi nilai dasar hak dan kewajiban dan 2 (dua) unsur lainnya.
4. Aturan kode etik dan kode perilaku Pelaksana Pelayanan meliputi nilai dasar hak dan kewajiban dan 3 (tiga) unsur lainnya.
5. Aturan kode etik dan kode perilaku Pelaksana Pelayanan meliputi nilai dasar hak dan kewajiban dan 4 (empat) unsur lainnya.</t>
  </si>
  <si>
    <t>Tersedia mekanisme yang dibangun untuk menjaga dan meningkatkan motivasi kerja Pelaksana pelayanan</t>
  </si>
  <si>
    <t>Skala Nilai:
0. Tidak tersedia mekanisme peningkatan motivasi kerja.
1. Tersedia 1 jenis mekanisme peningkatan motivasi kerja.
2. Tersedia 2 jenis mekanisme peningkatan motivasi kerja.
3. Tersedia 3 jenis mekanisme peningkatan motivasi kerja.
4. Tersedia 4 jenis mekanisme peningkatan motivasi kerja.
5. Tersedia lebih dari 4 jenis mekanisme peningkatan motivasi kerja.</t>
  </si>
  <si>
    <t>Tersedia kriteria pemberian penghargaan bagi pegawai yang berprestasi</t>
  </si>
  <si>
    <t>Skala Nilai:
0. Tidak ada pemberian penghargaan.
1. Ada pemberian penghargaan hanya berdasarkan 1-2 unsur kecuali kinerja.
2. Ada pemberian penghargaan berdasarkan 3-5 unsur kecuali kinerja.
3. Ada pemberian penghargaan berdasarkan 1-2 unsur termasuk kinerja.
4. Ada pemberian penghargaan berdasarkan 3-4 unsur termasuk kinerja.
5. Ada pemberian penghargaan berdasarkan 5-6 unsur termasuk kinerja.</t>
  </si>
  <si>
    <t xml:space="preserve">Tersedia pelaksana yang menerapkan budaya pelayanan </t>
  </si>
  <si>
    <t>Skala Nilai:
0. Tidak menerapkan budaya layanan.
1. Pelaksana pelayanan menerapkan 1 (satu) unsur budaya pelayanan.
2. Pelaksana pelayanan menerapkan 2 (dua) unsur budaya pelayanan.
3. Pelaksana pelayanan menerapkan 3 (tiga) unsur budaya pelayanan.
4. Pelaksana pelayanan menerapkan 4 (empat) unsur budaya pelayanan.
5. Pelaksana pelayanan menerapkan 5 (lima) unsur budaya pelayanan.</t>
  </si>
  <si>
    <t>III. SARANA PRASARANA</t>
  </si>
  <si>
    <t>Tersedia tempat parkir dengan fasilitas pendukung yang memadai</t>
  </si>
  <si>
    <t>Skala Nilai:
0. Tidak tersedia tempat parkir.
1. Tersedia tempat parkir dan memiliki 1 fasilitas parkir.
2. Tersedia tempat parkir dan memiliki 2 fasilitas parkir.
3. Tersedia tempat parkir dan memiliki 3 fasilitas parkir.
4. Tersedia tempat parkir dan memiliki 4 fasilitas parkir.
5. Tersedia tempat parkir dan memiliki 5 atau lebih fasilitas parkir.</t>
  </si>
  <si>
    <t>Tersedia ruang tunggu dengan fasilitas wajib dan pelengkap</t>
  </si>
  <si>
    <t>Skala Nilai:
0. Tidak tersedia fasilitas apapun.
1. Tersedia fasilitas wajib.
2. Tersedia fasilitas wajib dan 1 fasilitas pelengkap.
3. Tersedia fasilitas wajib dan 2 fasilitas pelengkap.
4. Tersedia fasilitas wajib dan 3 fasilitas pelengkap.
5. Tersedia fasilitas wajib dan 4 atau lebih fasilitas pelengkap.</t>
  </si>
  <si>
    <t>Tersedia sarana toilet pengguna layanan yang layak pakai</t>
  </si>
  <si>
    <t>Skala Nilai:
0. Tidak tersedia toilet pengguna layanan.
1. Toilet pengguna layanan dengan 1 kondisi.
2. Toilet pengguna layanan dengan 2 kondisi.
3. Toilet pengguna layanan dengan 3 kondisi.
4. Toilet pengguna layanan dengan 4 kondisi.
5. Toilet pengguna layanan dengan lebih dari 4 kondisi.</t>
  </si>
  <si>
    <t>Tersedia sarana prasarana bagi pengguna layanan kelompok rentan</t>
  </si>
  <si>
    <t>Skala Nilai:
0. Tidak tersedia sarana prasarana bagi pengguna layanan kelompok rentan.
1. Tersedia 1-3 sarana prasarana bagi pengguna layanan kelompok rentan.
2. Tersedia 4-6 sarana prasarana bagi pengguna layanan kelompok rentan.
3. Tersedia 7-9 sarana prasarana bagi pengguna layanan kelompok rentan.
4. Tersedia 10-12 sarana prasarana bagi pengguna layanan kelompok rentan.
5. Tersedia 13 atau lebih sarana prasarana bagi pengguna layanan kelompok rentan.</t>
  </si>
  <si>
    <t>Tersedia sarana prasarana penunjang</t>
  </si>
  <si>
    <t>Skala Nilai:
0. Tidak tersedia fasilitas penunjang.
1. Tersedia 1 fasilitas penunjang.
2. Tersedia 2 fasilitas penunjang.
3. Tersedia 3 fasilitas penunjang.
4. Tersedia 4 fasilitas penunjang.
5. Tersedia 5 atau lebih fasilitas penunjang.</t>
  </si>
  <si>
    <t>Sarana Front Office (FO) Informasi di unit layanan</t>
  </si>
  <si>
    <t>Skala Nilai:
0. Tidak tersedia sarana FO informasi layanan.
1. Tersedia sarana FO informasi layanan dengan 1 fasilitas.
2. Tersedia sarana FO informasi layanan dengan 2 fasilitas.
3. Tersedia sarana FO informasi layanan dengan 3 fasilitas.
4. Tersedia sarana FO informasi layanan dengan 4 fasilitas.
5. Tersedia sarana FO informasi layanan dengan 5 atau lebih fasilitas.</t>
  </si>
  <si>
    <t>IV. SISTEM INFORMASI PELAYANAN PUBLIK</t>
  </si>
  <si>
    <t>Tersedia sistem informasi pelayanan publik untuk informasi publik</t>
  </si>
  <si>
    <t>Skala Nilai:
0. Tidak tersedia sistem informasi pelayanan publik baik elektronik maupun non elektronik.
1. Tersedia sistem informasi pelayanan publik non elektronik melalui media lisan (pusat informasi).
2. Tersedia sistem informasi pelayanan publik non elektronik melalui media lisan (pusat informasi) serta media papan pengumuman dan media cetak.
3. Tersedia Sistem informasi pelayanan publik elektronik namun belum online (e-kiosk/ display TV/ layar monitor).
4. Tersedia Sistem informasi pelayanan publik berbasis online/website.
5. Sistem informasi pelayanan publik telah online/website dan terhubung dengan sistem informasi pelayanan publik nasional serta telah menginput layanan yang ditetapkan ke dalam sistem informasi pelayanan publik nasional.</t>
  </si>
  <si>
    <t>Tersedia sistem informasi pelayanan publik pendukung operasional pelayanan</t>
  </si>
  <si>
    <t>Skala Nilai:
0. Tidak tersedia sistem informasi pendukung operasional pelayanan publik.
1. Tersedia sistem informasi pendukung operasional pelayanan dengan 1 kondisi.
2. Tersedia sistem informasi pendukung operasional pelayanan dengan 2 kondisi.
3. Tersedia sistem informasi pendukung operasional pelayanan dengan 3 kondisi.
4. Tersedia sistem informasi pendukung operasional pelayanan dengan 4 kondisi.
5. Tersedia sistem informasi pendukung operasional pelayanan dengan lebih dari 4 kondisi.</t>
  </si>
  <si>
    <t>Kualitas penggunaan SIPP Elektronik (Website/Aplikasi)</t>
  </si>
  <si>
    <t>Skala Nilai:
0. SIPP Elektronik tidak terhubung secara daring.
1. SIPP Elektronik berbasis website/aplikasi mudah dioperasikan.
2. SIPP Elektronik berbasis website/aplikasi mudah dioperasikan, mudah diakses.
3. SIPP Elektronik berbasis website/aplikasi mudah dioperasikan, mudah diakses, navigasi yang mudah dipahami.
4. SIPP Elektronik berbasis website/aplikasi yang mudah dioperasikan,
mudah diakses, navigasi yang mudah dipahami, merupakan kanal digital resmi pemerintah (domain.go.id).
5. SIPP Elektronik berbasis website/aplikasi yang mudah dioperasikan, mudah diakses, navigasi yang mudah dipahami, merupakan kanal digital resmi pemerintah (domain.go.id) dan kompatibel.</t>
  </si>
  <si>
    <t>Pemutakhiran data dan informasi kanal digital</t>
  </si>
  <si>
    <t>Skala Nilai:
0. Tersedia data dan informasi pelayanan publik yang tidak dimutakhirkan.
1. Pemutakhiran data dan informasi pelayanan publik telah dilakukan secara tahunan.
2. Pemutakhiran data dan informasi pelayanan publik telah dilakukan secara semesteran.
3. Pemutakhiran data dan informasi pelayanan publik secara bulanan.
4. Pemutakhiran data dan informasi pelayanan publik dilakukan secara mingguan.
5. Pemutakhiran data dan informasi pelayanan publik dilakukan secara harian dan detail/sangat lengkap.</t>
  </si>
  <si>
    <t>V. KONSULTASI DAN PENGADUAN</t>
  </si>
  <si>
    <t>Tersedia sarana konsultasi dan pengaduan secara tatap muka yang berkualitas</t>
  </si>
  <si>
    <t>Skala Nilai:
0. Tidak tersedia Sarana konsultasi pengaduan pengguna layanan.
1. Sarana konsultasi pengaduan pengguna layanan dengan 1 fasilitas.
2. Sarana konsultasi pengaduan pengguna layanan dengan 2 fasilitas.
3. Sarana konsultasi pengaduan pengguna layanan dengan 3 fasilitas.
4. Sarana konsultasi pengaduan pengguna layanan dengan 4 fasilitas.
5. Sarana konsultasi pengaduan pengguna layanan dengan 5 atau lebih fasilitas.</t>
  </si>
  <si>
    <t>Tersedia sarana dan media konsultasi serta pengaduan yang bisa dimanfaatkan semua lapisan masyarakat</t>
  </si>
  <si>
    <t>Skala Nilai:
0. Tidak ada sarana dan petugas.
1. Hanya terdapat media konsultasi dan pengaduan secara offline menyatu dengan front office.
2. Hanya terdapat media konsultasi dan pengaduan secara offline namun terpisah dengan front office.
3. Terdapat media konsultasi dan pengaduan secara offline menyatu satu dengan front office dan tersedia secara online.
4. Terdapat media konsultasi dan pengaduan secara offline secara terpisah dari
front office, serta tersedia secara online.
5. Terdapat media konsultasi dan pengaduan secara offline terpisah dari front office, dan terhubung dengan SP4N-LAPOR!</t>
  </si>
  <si>
    <t>Tersedia akuntabilitas hasil konsultasi dan/atau pengaduan</t>
  </si>
  <si>
    <t>Skala Nilai:
0. Tidak ada dokumentasi.
1. Terdapat dokumentasi yang diarsipkan.
2. Terdapat dokumentasi yang diarsipkan dan dituangkan dalam laporan.
3. Terdapat dokumentasi diarsipkan, dituangkan dalam laporan, dan dilakukan monev.
4. Terdapat dokumentasi diarsipkan, dituangkan dalam laporan, dilakukan monev, dan
ditindaklanjuti.
5. Terdapat dokumentasi diarsipkan, dituangkan dalam laporan, dilakukan monev, ditindaklanjuti, dan dipublikasikan.</t>
  </si>
  <si>
    <t>Tersedia tindak lanjut atas konsultasi dan pengaduan dari semua lapisan masyarakat</t>
  </si>
  <si>
    <t>Skala Nilai:
0. Tidak ada konsultasi atau pengaduan yang ditindaklanjuti.
1. &lt; 50% konsultasi atau pengaduan ditindaklanjuti hingga selesai yang tidak menggunakan SP4N-LAPOR!.
2. ≥ 50% konsultasi atau pengaduan ditindaklanjuti hingga selesai yang tidak menggunakan SP4N-LAPOR!.
3. &lt; 50% konsultasi atau pengaduan yang masuk ke SP4N-LAPOR! dan ditindaklanjuti hingga selesai.
4. ≥ 50% - 90% konsultasi atau pengaduan yang masuk ke SP4N-LAPOR! dan ditindaklanjuti hingga selesai.
5. ≥ 90% konsultasi atau pengaduan yang masuk ke SP4N-LAPOR! dan ditindaklanjuti hingga selesai.</t>
  </si>
  <si>
    <t>VI. INOVASI</t>
  </si>
  <si>
    <t>Penciptaan Inovasi Pelayanan Publik</t>
  </si>
  <si>
    <t>Skala Nilai:
0. Tidak tersedia inovasi.
1. Belum ada inovasi, masih dalam proses pembelajaran berinovasi.
2. Sudah ada inovasi namun kurang dari 1 tahun.
3. Sudah ada inovasi lebih dari 1 tahun namun belum diikutsertakan dalam kompetisi (level apapun).
4. Sudah ada inovasi lebih dari 1 tahun dan sudah diikutsertakan dalam kompetisi level apapun.
5. Inovasi yang dilaksanakan sudah mendapatkan prestasi pada level (apapun).</t>
  </si>
  <si>
    <t>Sumber daya yang mendukung keberlanjutan Inovasi Pelayanan Publik</t>
  </si>
  <si>
    <t>Skala Nilai:
0. Belum ada sumber daya yang mendukung keberlanjutan inovasi.
1. Sumber daya yang mendukung keberlanjutan inovasi dalam bentuk rancangan payung hukum.
2. Sumber daya yang mendukung keberlanjutan inovasi dalam bentuk payung hukum.
3. Sumber daya yang mendukung keberlanjutan inovasi dalam bentuk payung hukum dan 1 kondisi lainnya.
4. Sumber daya yang mendukung keberlanjutan inovasi dalam bentuk payung hukum dan 2 kondisi lainnya. 
5. Sumber daya yang mendukung keberlanjutan inovasi dalam bentuk payung hukum dan 3 kondisi lainnya.</t>
  </si>
  <si>
    <t>[NAMA OPD]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</si>
</sst>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2"/>
      <color theme="1"/>
      <name val="Calibri"/>
      <family val="2"/>
      <scheme val="minor"/>
    </font>
    <font>
      <sz val="11"/>
      <name val="Calibri"/>
      <family val="2"/>
    </font>
    <font>
      <b/>
      <sz val="16"/>
      <color rgb="FF000000"/>
      <name val="Calibri"/>
      <family val="2"/>
    </font>
    <font>
      <b/>
      <sz val="12"/>
      <color rgb="FF000000"/>
      <name val="Arial"/>
      <family val="2"/>
    </font>
    <font>
      <sz val="12"/>
      <name val="Calibri"/>
      <family val="2"/>
    </font>
    <font>
      <sz val="12"/>
      <color rgb="FF000000"/>
      <name val="Arial"/>
      <family val="2"/>
    </font>
    <font>
      <sz val="12"/>
      <name val="Arial"/>
      <family val="2"/>
    </font>
    <font>
      <b/>
      <sz val="16"/>
      <name val="Calibri"/>
      <family val="2"/>
    </font>
  </fonts>
  <fills count="10">
    <fill>
      <patternFill patternType="none"/>
    </fill>
    <fill>
      <patternFill patternType="gray125"/>
    </fill>
    <fill>
      <patternFill patternType="solid">
        <fgColor rgb="FFFBD4B4"/>
        <bgColor rgb="FFFBD4B4"/>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7CAAC"/>
        <bgColor rgb="FFF7CAAC"/>
      </patternFill>
    </fill>
    <fill>
      <patternFill patternType="solid">
        <fgColor rgb="FFFFFF00"/>
        <bgColor rgb="FFFFFF00"/>
      </patternFill>
    </fill>
    <fill>
      <patternFill patternType="solid">
        <fgColor rgb="FFFFFF00"/>
        <bgColor indexed="64"/>
      </patternFill>
    </fill>
    <fill>
      <patternFill patternType="solid">
        <fgColor theme="7" tint="0.79998168889431442"/>
        <bgColor indexed="64"/>
      </patternFill>
    </fill>
  </fills>
  <borders count="37">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bottom style="medium">
        <color rgb="FF000000"/>
      </bottom>
      <diagonal/>
    </border>
    <border>
      <left style="medium">
        <color indexed="64"/>
      </left>
      <right style="medium">
        <color indexed="64"/>
      </right>
      <top style="medium">
        <color indexed="64"/>
      </top>
      <bottom/>
      <diagonal/>
    </border>
    <border>
      <left/>
      <right style="medium">
        <color rgb="FF000000"/>
      </right>
      <top/>
      <bottom/>
      <diagonal/>
    </border>
    <border>
      <left style="thin">
        <color rgb="FF000000"/>
      </left>
      <right/>
      <top/>
      <bottom/>
      <diagonal/>
    </border>
    <border>
      <left style="medium">
        <color rgb="FF000000"/>
      </left>
      <right style="medium">
        <color rgb="FF000000"/>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medium">
        <color indexed="64"/>
      </left>
      <right style="medium">
        <color rgb="FF000000"/>
      </right>
      <top style="medium">
        <color indexed="64"/>
      </top>
      <bottom/>
      <diagonal/>
    </border>
    <border>
      <left/>
      <right style="medium">
        <color indexed="64"/>
      </right>
      <top style="medium">
        <color indexed="64"/>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style="medium">
        <color rgb="FF000000"/>
      </left>
      <right/>
      <top/>
      <bottom style="thin">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s>
  <cellStyleXfs count="2">
    <xf numFmtId="0" fontId="0" fillId="0" borderId="0"/>
    <xf numFmtId="0" fontId="1" fillId="0" borderId="0">
      <alignment vertical="center"/>
    </xf>
  </cellStyleXfs>
  <cellXfs count="88">
    <xf numFmtId="0" fontId="0" fillId="0" borderId="0" xfId="0"/>
    <xf numFmtId="0" fontId="1" fillId="0" borderId="0" xfId="1">
      <alignment vertical="center"/>
    </xf>
    <xf numFmtId="0" fontId="4" fillId="0" borderId="4" xfId="1" applyFont="1" applyBorder="1" applyAlignment="1" applyProtection="1">
      <protection locked="0"/>
    </xf>
    <xf numFmtId="0" fontId="3" fillId="3" borderId="7" xfId="1" applyFont="1" applyFill="1" applyBorder="1" applyAlignment="1" applyProtection="1">
      <alignment horizontal="center" vertical="center" wrapText="1"/>
      <protection locked="0"/>
    </xf>
    <xf numFmtId="0" fontId="3" fillId="3" borderId="1" xfId="1" applyFont="1" applyFill="1" applyBorder="1" applyAlignment="1" applyProtection="1">
      <alignment horizontal="center" vertical="center" wrapText="1"/>
      <protection locked="0"/>
    </xf>
    <xf numFmtId="0" fontId="3" fillId="2" borderId="7" xfId="1" applyFont="1" applyFill="1" applyBorder="1" applyAlignment="1" applyProtection="1">
      <alignment horizontal="center" vertical="center" wrapText="1"/>
      <protection locked="0"/>
    </xf>
    <xf numFmtId="0" fontId="3" fillId="6" borderId="7" xfId="1" applyFont="1" applyFill="1" applyBorder="1" applyAlignment="1" applyProtection="1">
      <alignment horizontal="center" vertical="center"/>
      <protection locked="0"/>
    </xf>
    <xf numFmtId="0" fontId="3" fillId="0" borderId="3" xfId="1" applyFont="1" applyBorder="1" applyAlignment="1" applyProtection="1">
      <alignment vertical="center" wrapText="1"/>
      <protection locked="0"/>
    </xf>
    <xf numFmtId="0" fontId="4" fillId="0" borderId="8" xfId="1" applyFont="1" applyBorder="1" applyAlignment="1" applyProtection="1">
      <protection locked="0"/>
    </xf>
    <xf numFmtId="0" fontId="4" fillId="0" borderId="9" xfId="1" applyFont="1" applyBorder="1" applyAlignment="1" applyProtection="1">
      <protection locked="0"/>
    </xf>
    <xf numFmtId="2" fontId="5" fillId="7" borderId="7" xfId="1" applyNumberFormat="1" applyFont="1" applyFill="1" applyBorder="1" applyAlignment="1" applyProtection="1">
      <alignment horizontal="center" vertical="center"/>
      <protection locked="0"/>
    </xf>
    <xf numFmtId="2" fontId="5" fillId="0" borderId="10" xfId="1" applyNumberFormat="1" applyFont="1" applyBorder="1" applyAlignment="1" applyProtection="1">
      <alignment horizontal="center" vertical="center" wrapText="1"/>
      <protection locked="0"/>
    </xf>
    <xf numFmtId="0" fontId="6" fillId="8" borderId="11" xfId="1" applyFont="1" applyFill="1" applyBorder="1" applyAlignment="1" applyProtection="1">
      <protection locked="0"/>
    </xf>
    <xf numFmtId="0" fontId="3" fillId="7" borderId="12" xfId="1" applyFont="1" applyFill="1" applyBorder="1" applyAlignment="1" applyProtection="1">
      <alignment horizontal="left" vertical="center" wrapText="1"/>
      <protection locked="0"/>
    </xf>
    <xf numFmtId="2" fontId="5" fillId="7" borderId="10" xfId="1" applyNumberFormat="1" applyFont="1" applyFill="1" applyBorder="1" applyAlignment="1" applyProtection="1">
      <alignment horizontal="center" vertical="center" wrapText="1"/>
      <protection locked="0"/>
    </xf>
    <xf numFmtId="2" fontId="5" fillId="7" borderId="13" xfId="1" applyNumberFormat="1" applyFont="1" applyFill="1" applyBorder="1" applyAlignment="1" applyProtection="1">
      <alignment horizontal="center" vertical="center"/>
      <protection locked="0"/>
    </xf>
    <xf numFmtId="0" fontId="5" fillId="0" borderId="14" xfId="1" applyFont="1" applyBorder="1" applyAlignment="1" applyProtection="1">
      <alignment horizontal="center" vertical="top" wrapText="1"/>
      <protection locked="0"/>
    </xf>
    <xf numFmtId="0" fontId="5" fillId="0" borderId="0" xfId="1" applyFont="1" applyAlignment="1" applyProtection="1">
      <alignment horizontal="left" vertical="top" wrapText="1"/>
      <protection locked="0"/>
    </xf>
    <xf numFmtId="0" fontId="5" fillId="0" borderId="15" xfId="1" applyFont="1" applyBorder="1" applyAlignment="1">
      <alignment vertical="top" wrapText="1"/>
    </xf>
    <xf numFmtId="0" fontId="5" fillId="0" borderId="16" xfId="1" applyFont="1" applyBorder="1" applyAlignment="1" applyProtection="1">
      <alignment horizontal="left" vertical="top" wrapText="1"/>
      <protection locked="0"/>
    </xf>
    <xf numFmtId="0" fontId="5" fillId="0" borderId="17" xfId="1" applyFont="1" applyBorder="1" applyAlignment="1" applyProtection="1">
      <alignment horizontal="center" vertical="center" wrapText="1"/>
      <protection locked="0"/>
    </xf>
    <xf numFmtId="0" fontId="5" fillId="0" borderId="18" xfId="1" applyFont="1" applyBorder="1" applyAlignment="1" applyProtection="1">
      <alignment horizontal="center" vertical="top" wrapText="1"/>
      <protection locked="0"/>
    </xf>
    <xf numFmtId="0" fontId="5" fillId="0" borderId="19" xfId="1" applyFont="1" applyBorder="1" applyAlignment="1" applyProtection="1">
      <alignment horizontal="left" vertical="top" wrapText="1"/>
      <protection locked="0"/>
    </xf>
    <xf numFmtId="0" fontId="5" fillId="0" borderId="20" xfId="1" applyFont="1" applyBorder="1" applyAlignment="1" applyProtection="1">
      <alignment horizontal="center" vertical="center" wrapText="1"/>
      <protection locked="0"/>
    </xf>
    <xf numFmtId="0" fontId="5" fillId="0" borderId="21" xfId="1" applyFont="1" applyBorder="1" applyAlignment="1" applyProtection="1">
      <alignment horizontal="center" vertical="top" wrapText="1"/>
      <protection locked="0"/>
    </xf>
    <xf numFmtId="0" fontId="5" fillId="0" borderId="22" xfId="1" applyFont="1" applyBorder="1" applyAlignment="1" applyProtection="1">
      <alignment horizontal="left" vertical="top" wrapText="1"/>
      <protection locked="0"/>
    </xf>
    <xf numFmtId="0" fontId="5" fillId="0" borderId="21" xfId="1" applyFont="1" applyBorder="1" applyAlignment="1">
      <alignment vertical="top" wrapText="1"/>
    </xf>
    <xf numFmtId="0" fontId="5" fillId="0" borderId="23" xfId="1" applyFont="1" applyBorder="1" applyAlignment="1" applyProtection="1">
      <alignment horizontal="center" vertical="top" wrapText="1"/>
      <protection locked="0"/>
    </xf>
    <xf numFmtId="0" fontId="5" fillId="0" borderId="24" xfId="1" applyFont="1" applyBorder="1" applyAlignment="1" applyProtection="1">
      <alignment horizontal="left" vertical="top" wrapText="1"/>
      <protection locked="0"/>
    </xf>
    <xf numFmtId="0" fontId="5" fillId="0" borderId="25" xfId="1" applyFont="1" applyBorder="1" applyAlignment="1">
      <alignment vertical="top" wrapText="1"/>
    </xf>
    <xf numFmtId="0" fontId="5" fillId="0" borderId="26" xfId="1" applyFont="1" applyBorder="1" applyAlignment="1" applyProtection="1">
      <alignment horizontal="center" vertical="top" wrapText="1"/>
      <protection locked="0"/>
    </xf>
    <xf numFmtId="0" fontId="5" fillId="0" borderId="11" xfId="1" applyFont="1" applyBorder="1" applyAlignment="1" applyProtection="1">
      <alignment horizontal="left" vertical="top" wrapText="1"/>
      <protection locked="0"/>
    </xf>
    <xf numFmtId="0" fontId="5" fillId="0" borderId="21" xfId="1" applyFont="1" applyBorder="1" applyAlignment="1" applyProtection="1">
      <alignment horizontal="left" vertical="top" wrapText="1"/>
      <protection locked="0"/>
    </xf>
    <xf numFmtId="0" fontId="5" fillId="0" borderId="27" xfId="1" applyFont="1" applyBorder="1" applyAlignment="1" applyProtection="1">
      <alignment horizontal="center" vertical="top" wrapText="1"/>
      <protection locked="0"/>
    </xf>
    <xf numFmtId="0" fontId="5" fillId="0" borderId="28" xfId="1" applyFont="1" applyBorder="1" applyAlignment="1" applyProtection="1">
      <alignment horizontal="center" vertical="top" wrapText="1"/>
      <protection locked="0"/>
    </xf>
    <xf numFmtId="0" fontId="5" fillId="0" borderId="29" xfId="1" applyFont="1" applyBorder="1" applyAlignment="1" applyProtection="1">
      <alignment horizontal="left" vertical="top" wrapText="1"/>
      <protection locked="0"/>
    </xf>
    <xf numFmtId="0" fontId="5" fillId="0" borderId="30" xfId="1" applyFont="1" applyBorder="1" applyAlignment="1" applyProtection="1">
      <alignment horizontal="center" vertical="top" wrapText="1"/>
      <protection locked="0"/>
    </xf>
    <xf numFmtId="0" fontId="5" fillId="0" borderId="10" xfId="1" applyFont="1" applyBorder="1" applyAlignment="1" applyProtection="1">
      <alignment horizontal="left" vertical="top" wrapText="1"/>
      <protection locked="0"/>
    </xf>
    <xf numFmtId="0" fontId="5" fillId="0" borderId="25" xfId="1" applyFont="1" applyBorder="1" applyAlignment="1" applyProtection="1">
      <alignment horizontal="left" vertical="top" wrapText="1"/>
      <protection locked="0"/>
    </xf>
    <xf numFmtId="0" fontId="5" fillId="0" borderId="0" xfId="1" applyFont="1" applyAlignment="1" applyProtection="1">
      <alignment horizontal="center" vertical="center" wrapText="1"/>
      <protection locked="0"/>
    </xf>
    <xf numFmtId="0" fontId="5" fillId="0" borderId="31" xfId="1" applyFont="1" applyBorder="1" applyAlignment="1" applyProtection="1">
      <alignment horizontal="center" vertical="center" wrapText="1"/>
      <protection locked="0"/>
    </xf>
    <xf numFmtId="0" fontId="6" fillId="8" borderId="10" xfId="1" applyFont="1" applyFill="1" applyBorder="1" applyAlignment="1" applyProtection="1">
      <protection locked="0"/>
    </xf>
    <xf numFmtId="0" fontId="3" fillId="7" borderId="0" xfId="1" applyFont="1" applyFill="1" applyAlignment="1" applyProtection="1">
      <alignment horizontal="left" vertical="top" wrapText="1"/>
      <protection locked="0"/>
    </xf>
    <xf numFmtId="0" fontId="5" fillId="7" borderId="8" xfId="1" applyFont="1" applyFill="1" applyBorder="1" applyAlignment="1" applyProtection="1">
      <alignment horizontal="center" vertical="center" wrapText="1"/>
      <protection locked="0"/>
    </xf>
    <xf numFmtId="0" fontId="5" fillId="7" borderId="10" xfId="1" applyFont="1" applyFill="1" applyBorder="1" applyAlignment="1" applyProtection="1">
      <alignment horizontal="center" vertical="center" wrapText="1"/>
      <protection locked="0"/>
    </xf>
    <xf numFmtId="0" fontId="5" fillId="7" borderId="13" xfId="1" applyFont="1" applyFill="1" applyBorder="1" applyAlignment="1" applyProtection="1">
      <alignment horizontal="center" vertical="center"/>
      <protection locked="0"/>
    </xf>
    <xf numFmtId="0" fontId="5" fillId="0" borderId="32" xfId="1" applyFont="1" applyBorder="1" applyAlignment="1" applyProtection="1">
      <alignment horizontal="center" vertical="top" wrapText="1"/>
      <protection locked="0"/>
    </xf>
    <xf numFmtId="0" fontId="5" fillId="0" borderId="33" xfId="1" applyFont="1" applyBorder="1" applyAlignment="1" applyProtection="1">
      <alignment horizontal="left" vertical="top" wrapText="1"/>
      <protection locked="0"/>
    </xf>
    <xf numFmtId="0" fontId="5" fillId="0" borderId="3" xfId="1" applyFont="1" applyBorder="1" applyAlignment="1" applyProtection="1">
      <alignment horizontal="left" vertical="top" wrapText="1"/>
      <protection locked="0"/>
    </xf>
    <xf numFmtId="0" fontId="5" fillId="0" borderId="34" xfId="1" applyFont="1" applyBorder="1" applyAlignment="1" applyProtection="1">
      <alignment horizontal="center" vertical="top" wrapText="1"/>
      <protection locked="0"/>
    </xf>
    <xf numFmtId="0" fontId="5" fillId="0" borderId="35" xfId="1" applyFont="1" applyBorder="1" applyAlignment="1" applyProtection="1">
      <alignment horizontal="left" vertical="top" wrapText="1"/>
      <protection locked="0"/>
    </xf>
    <xf numFmtId="0" fontId="5" fillId="0" borderId="36" xfId="1" applyFont="1" applyBorder="1" applyAlignment="1" applyProtection="1">
      <alignment horizontal="left" vertical="top" wrapText="1"/>
      <protection locked="0"/>
    </xf>
    <xf numFmtId="0" fontId="6" fillId="8" borderId="7" xfId="1" applyFont="1" applyFill="1" applyBorder="1" applyAlignment="1" applyProtection="1">
      <protection locked="0"/>
    </xf>
    <xf numFmtId="0" fontId="5" fillId="0" borderId="3" xfId="1" applyFont="1" applyBorder="1" applyAlignment="1">
      <alignment vertical="top" wrapText="1"/>
    </xf>
    <xf numFmtId="0" fontId="3" fillId="7" borderId="10" xfId="1" applyFont="1" applyFill="1" applyBorder="1" applyAlignment="1" applyProtection="1">
      <alignment horizontal="left" vertical="top" wrapText="1"/>
      <protection locked="0"/>
    </xf>
    <xf numFmtId="2" fontId="5" fillId="7" borderId="8" xfId="1" applyNumberFormat="1" applyFont="1" applyFill="1" applyBorder="1" applyAlignment="1" applyProtection="1">
      <alignment horizontal="center" vertical="center" wrapText="1"/>
      <protection locked="0"/>
    </xf>
    <xf numFmtId="0" fontId="5" fillId="0" borderId="7" xfId="1" applyFont="1" applyBorder="1" applyAlignment="1" applyProtection="1">
      <alignment horizontal="left" vertical="top" wrapText="1"/>
      <protection locked="0"/>
    </xf>
    <xf numFmtId="2" fontId="1" fillId="0" borderId="0" xfId="1" applyNumberFormat="1">
      <alignment vertical="center"/>
    </xf>
    <xf numFmtId="2" fontId="5" fillId="9" borderId="16" xfId="1" applyNumberFormat="1" applyFont="1" applyFill="1" applyBorder="1" applyAlignment="1" applyProtection="1">
      <alignment horizontal="center" vertical="center"/>
      <protection locked="0"/>
    </xf>
    <xf numFmtId="0" fontId="4" fillId="9" borderId="16" xfId="1" applyFont="1" applyFill="1" applyBorder="1" applyAlignment="1" applyProtection="1">
      <alignment horizontal="center"/>
      <protection locked="0"/>
    </xf>
    <xf numFmtId="0" fontId="4" fillId="9" borderId="16" xfId="1" applyFont="1" applyFill="1" applyBorder="1" applyAlignment="1" applyProtection="1">
      <alignment horizontal="center" vertical="center"/>
      <protection locked="0"/>
    </xf>
    <xf numFmtId="0" fontId="5" fillId="9" borderId="16" xfId="1" applyFont="1" applyFill="1" applyBorder="1" applyAlignment="1" applyProtection="1">
      <alignment horizontal="center" vertical="center"/>
      <protection locked="0"/>
    </xf>
    <xf numFmtId="0" fontId="5" fillId="0" borderId="1" xfId="1" applyFont="1" applyBorder="1" applyAlignment="1" applyProtection="1">
      <alignment horizontal="center" vertical="top"/>
      <protection locked="0"/>
    </xf>
    <xf numFmtId="0" fontId="4" fillId="0" borderId="14" xfId="1" applyFont="1" applyBorder="1" applyAlignment="1" applyProtection="1">
      <alignment horizontal="center" vertical="top"/>
      <protection locked="0"/>
    </xf>
    <xf numFmtId="0" fontId="4" fillId="0" borderId="12" xfId="1" applyFont="1" applyBorder="1" applyAlignment="1" applyProtection="1">
      <alignment horizontal="center" vertical="top"/>
      <protection locked="0"/>
    </xf>
    <xf numFmtId="0" fontId="4" fillId="0" borderId="6" xfId="1" applyFont="1" applyBorder="1" applyAlignment="1" applyProtection="1">
      <alignment horizontal="center" vertical="top"/>
      <protection locked="0"/>
    </xf>
    <xf numFmtId="164" fontId="5" fillId="0" borderId="1" xfId="1" applyNumberFormat="1" applyFont="1" applyBorder="1" applyAlignment="1" applyProtection="1">
      <alignment horizontal="center" vertical="top"/>
      <protection locked="0"/>
    </xf>
    <xf numFmtId="164" fontId="4" fillId="0" borderId="14" xfId="1" applyNumberFormat="1" applyFont="1" applyBorder="1" applyAlignment="1" applyProtection="1">
      <alignment horizontal="center"/>
      <protection locked="0"/>
    </xf>
    <xf numFmtId="164" fontId="4" fillId="0" borderId="5" xfId="1" applyNumberFormat="1" applyFont="1" applyBorder="1" applyAlignment="1" applyProtection="1">
      <alignment horizontal="center"/>
      <protection locked="0"/>
    </xf>
    <xf numFmtId="0" fontId="3" fillId="7" borderId="3" xfId="1" applyFont="1" applyFill="1" applyBorder="1" applyAlignment="1" applyProtection="1">
      <alignment horizontal="left" vertical="center" wrapText="1"/>
      <protection locked="0"/>
    </xf>
    <xf numFmtId="0" fontId="6" fillId="0" borderId="8" xfId="1" applyFont="1" applyBorder="1" applyAlignment="1" applyProtection="1">
      <protection locked="0"/>
    </xf>
    <xf numFmtId="2" fontId="5" fillId="0" borderId="1" xfId="1" applyNumberFormat="1" applyFont="1" applyBorder="1" applyAlignment="1" applyProtection="1">
      <alignment horizontal="center" vertical="center"/>
      <protection locked="0"/>
    </xf>
    <xf numFmtId="0" fontId="4" fillId="0" borderId="14" xfId="1" applyFont="1" applyBorder="1" applyAlignment="1" applyProtection="1">
      <protection locked="0"/>
    </xf>
    <xf numFmtId="0" fontId="4" fillId="0" borderId="5" xfId="1" applyFont="1" applyBorder="1" applyAlignment="1" applyProtection="1">
      <protection locked="0"/>
    </xf>
    <xf numFmtId="0" fontId="6" fillId="0" borderId="4" xfId="1" applyFont="1" applyBorder="1" applyAlignment="1" applyProtection="1">
      <protection locked="0"/>
    </xf>
    <xf numFmtId="0" fontId="5" fillId="0" borderId="1" xfId="1" applyFont="1" applyBorder="1" applyAlignment="1" applyProtection="1">
      <alignment horizontal="center" vertical="center"/>
      <protection locked="0"/>
    </xf>
    <xf numFmtId="0" fontId="2" fillId="0" borderId="0" xfId="1" applyFont="1" applyAlignment="1">
      <alignment horizontal="center" vertical="center"/>
    </xf>
    <xf numFmtId="0" fontId="7" fillId="0" borderId="0" xfId="1" applyFont="1" applyAlignment="1">
      <alignment horizontal="center" vertical="center"/>
    </xf>
    <xf numFmtId="0" fontId="3" fillId="2" borderId="1" xfId="1" applyFont="1" applyFill="1" applyBorder="1" applyAlignment="1" applyProtection="1">
      <alignment horizontal="center" vertical="center" wrapText="1"/>
      <protection locked="0"/>
    </xf>
    <xf numFmtId="0" fontId="3" fillId="2" borderId="2" xfId="1" applyFont="1" applyFill="1" applyBorder="1" applyAlignment="1" applyProtection="1">
      <alignment horizontal="center" vertical="center" wrapText="1"/>
      <protection locked="0"/>
    </xf>
    <xf numFmtId="0" fontId="4" fillId="0" borderId="6" xfId="1" applyFont="1" applyBorder="1" applyAlignment="1" applyProtection="1">
      <protection locked="0"/>
    </xf>
    <xf numFmtId="0" fontId="3" fillId="2" borderId="5" xfId="1" applyFont="1" applyFill="1" applyBorder="1" applyAlignment="1" applyProtection="1">
      <alignment horizontal="center" vertical="center" wrapText="1"/>
      <protection locked="0"/>
    </xf>
    <xf numFmtId="0" fontId="3" fillId="3" borderId="3" xfId="1" applyFont="1" applyFill="1" applyBorder="1" applyAlignment="1" applyProtection="1">
      <alignment horizontal="center" vertical="center" wrapText="1"/>
      <protection locked="0"/>
    </xf>
    <xf numFmtId="0" fontId="4" fillId="0" borderId="4" xfId="1" applyFont="1" applyBorder="1" applyAlignment="1" applyProtection="1">
      <protection locked="0"/>
    </xf>
    <xf numFmtId="0" fontId="3" fillId="2" borderId="3" xfId="1" applyFont="1" applyFill="1" applyBorder="1" applyAlignment="1" applyProtection="1">
      <alignment horizontal="center" vertical="center" wrapText="1"/>
      <protection locked="0"/>
    </xf>
    <xf numFmtId="0" fontId="3" fillId="4" borderId="1" xfId="1" applyFont="1" applyFill="1" applyBorder="1" applyAlignment="1" applyProtection="1">
      <alignment horizontal="center" vertical="center" wrapText="1"/>
      <protection locked="0"/>
    </xf>
    <xf numFmtId="0" fontId="3" fillId="5" borderId="1" xfId="1" applyFont="1" applyFill="1" applyBorder="1" applyAlignment="1" applyProtection="1">
      <alignment horizontal="center" vertical="center" wrapText="1"/>
      <protection locked="0"/>
    </xf>
    <xf numFmtId="0" fontId="4" fillId="0" borderId="5" xfId="1" applyFont="1" applyBorder="1" applyAlignment="1" applyProtection="1">
      <alignment horizontal="center" wrapText="1"/>
      <protection locked="0"/>
    </xf>
  </cellXfs>
  <cellStyles count="2">
    <cellStyle name="Normal" xfId="0" builtinId="0"/>
    <cellStyle name="Normal 2" xfId="1" xr:uid="{C86CB38D-BD72-0748-B736-58116CA9AB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4FCE-C768-7941-86DD-D7F82673C69A}">
  <sheetPr>
    <pageSetUpPr fitToPage="1"/>
  </sheetPr>
  <dimension ref="B1:M42"/>
  <sheetViews>
    <sheetView tabSelected="1" zoomScale="50" zoomScaleNormal="50" workbookViewId="0">
      <selection activeCell="B1" sqref="B1:K1"/>
    </sheetView>
  </sheetViews>
  <sheetFormatPr baseColWidth="10" defaultColWidth="10" defaultRowHeight="15" x14ac:dyDescent="0.2"/>
  <cols>
    <col min="1" max="1" width="10" style="1"/>
    <col min="2" max="2" width="5.5" style="1" customWidth="1"/>
    <col min="3" max="4" width="88.83203125" style="1" customWidth="1"/>
    <col min="5" max="5" width="34.5" style="1" customWidth="1"/>
    <col min="6" max="7" width="11.33203125" style="1" hidden="1" customWidth="1"/>
    <col min="8" max="8" width="11.33203125" style="1" customWidth="1"/>
    <col min="9" max="9" width="18.33203125" style="1" customWidth="1"/>
    <col min="10" max="10" width="7.83203125" style="1" customWidth="1"/>
    <col min="11" max="11" width="12.83203125" style="1" customWidth="1"/>
    <col min="12" max="16384" width="10" style="1"/>
  </cols>
  <sheetData>
    <row r="1" spans="2:13" ht="27.75" customHeight="1" x14ac:dyDescent="0.2">
      <c r="B1" s="76" t="s">
        <v>0</v>
      </c>
      <c r="C1" s="76"/>
      <c r="D1" s="76"/>
      <c r="E1" s="76"/>
      <c r="F1" s="76"/>
      <c r="G1" s="76"/>
      <c r="H1" s="76"/>
      <c r="I1" s="76"/>
      <c r="J1" s="76"/>
      <c r="K1" s="76"/>
    </row>
    <row r="2" spans="2:13" ht="27.75" customHeight="1" x14ac:dyDescent="0.2">
      <c r="B2" s="77" t="s">
        <v>80</v>
      </c>
      <c r="C2" s="77"/>
      <c r="D2" s="77"/>
      <c r="E2" s="77"/>
      <c r="F2" s="77"/>
      <c r="G2" s="77"/>
      <c r="H2" s="77"/>
      <c r="I2" s="77"/>
      <c r="J2" s="77"/>
      <c r="K2" s="77"/>
    </row>
    <row r="4" spans="2:13" ht="17" thickBot="1" x14ac:dyDescent="0.25">
      <c r="B4" s="78" t="s">
        <v>1</v>
      </c>
      <c r="C4" s="79" t="s">
        <v>2</v>
      </c>
      <c r="D4" s="78" t="s">
        <v>3</v>
      </c>
      <c r="E4" s="79" t="s">
        <v>4</v>
      </c>
      <c r="F4" s="82" t="s">
        <v>5</v>
      </c>
      <c r="G4" s="83"/>
      <c r="H4" s="84" t="s">
        <v>6</v>
      </c>
      <c r="I4" s="83"/>
      <c r="J4" s="85" t="s">
        <v>7</v>
      </c>
      <c r="K4" s="86" t="s">
        <v>8</v>
      </c>
    </row>
    <row r="5" spans="2:13" ht="38.25" customHeight="1" thickBot="1" x14ac:dyDescent="0.25">
      <c r="B5" s="73"/>
      <c r="C5" s="80"/>
      <c r="D5" s="81"/>
      <c r="E5" s="80"/>
      <c r="F5" s="3" t="s">
        <v>9</v>
      </c>
      <c r="G5" s="4" t="s">
        <v>10</v>
      </c>
      <c r="H5" s="5" t="s">
        <v>11</v>
      </c>
      <c r="I5" s="6" t="s">
        <v>12</v>
      </c>
      <c r="J5" s="73"/>
      <c r="K5" s="87"/>
    </row>
    <row r="6" spans="2:13" ht="17" thickBot="1" x14ac:dyDescent="0.25">
      <c r="B6" s="7"/>
      <c r="C6" s="8"/>
      <c r="D6" s="9"/>
      <c r="E6" s="8"/>
      <c r="F6" s="2"/>
      <c r="G6" s="10" t="e">
        <f>F7+F17+F23+F30+F35+F40</f>
        <v>#DIV/0!</v>
      </c>
      <c r="H6" s="11"/>
      <c r="I6" s="10">
        <f>H7+H17+H23+H30+H35+H40</f>
        <v>0</v>
      </c>
      <c r="J6" s="62">
        <v>5</v>
      </c>
      <c r="K6" s="66">
        <f>(75%*I6)+(25%*J6)</f>
        <v>1.25</v>
      </c>
      <c r="M6" s="57"/>
    </row>
    <row r="7" spans="2:13" ht="18.75" customHeight="1" thickBot="1" x14ac:dyDescent="0.25">
      <c r="B7" s="69" t="s">
        <v>13</v>
      </c>
      <c r="C7" s="70"/>
      <c r="D7" s="12"/>
      <c r="E7" s="13"/>
      <c r="F7" s="14" t="e">
        <f>24%*G8</f>
        <v>#DIV/0!</v>
      </c>
      <c r="G7" s="15"/>
      <c r="H7" s="14">
        <f>24%*SUM(I8:I16)</f>
        <v>0</v>
      </c>
      <c r="I7" s="15"/>
      <c r="J7" s="63"/>
      <c r="K7" s="67"/>
    </row>
    <row r="8" spans="2:13" ht="182.5" customHeight="1" thickBot="1" x14ac:dyDescent="0.25">
      <c r="B8" s="16">
        <v>1</v>
      </c>
      <c r="C8" s="17" t="s">
        <v>14</v>
      </c>
      <c r="D8" s="18" t="s">
        <v>15</v>
      </c>
      <c r="E8" s="19" t="s">
        <v>16</v>
      </c>
      <c r="F8" s="20"/>
      <c r="G8" s="71" t="e">
        <f>AVERAGE(F8:F16)</f>
        <v>#DIV/0!</v>
      </c>
      <c r="H8" s="20"/>
      <c r="I8" s="58">
        <f>17%*H8</f>
        <v>0</v>
      </c>
      <c r="J8" s="64"/>
      <c r="K8" s="67"/>
      <c r="M8" s="57"/>
    </row>
    <row r="9" spans="2:13" ht="144.75" customHeight="1" thickBot="1" x14ac:dyDescent="0.25">
      <c r="B9" s="21">
        <v>2</v>
      </c>
      <c r="C9" s="22" t="s">
        <v>17</v>
      </c>
      <c r="D9" s="18" t="s">
        <v>18</v>
      </c>
      <c r="E9" s="19" t="s">
        <v>16</v>
      </c>
      <c r="F9" s="20"/>
      <c r="G9" s="72"/>
      <c r="H9" s="23"/>
      <c r="I9" s="59">
        <f>14%*H9</f>
        <v>0</v>
      </c>
      <c r="J9" s="64"/>
      <c r="K9" s="67"/>
      <c r="M9" s="57"/>
    </row>
    <row r="10" spans="2:13" ht="203.25" customHeight="1" thickBot="1" x14ac:dyDescent="0.25">
      <c r="B10" s="24">
        <v>3</v>
      </c>
      <c r="C10" s="25" t="s">
        <v>19</v>
      </c>
      <c r="D10" s="26" t="s">
        <v>20</v>
      </c>
      <c r="E10" s="19" t="s">
        <v>16</v>
      </c>
      <c r="F10" s="20"/>
      <c r="G10" s="72"/>
      <c r="H10" s="23"/>
      <c r="I10" s="60">
        <f>7%*H10</f>
        <v>0</v>
      </c>
      <c r="J10" s="64"/>
      <c r="K10" s="67"/>
    </row>
    <row r="11" spans="2:13" ht="172.5" customHeight="1" thickBot="1" x14ac:dyDescent="0.25">
      <c r="B11" s="27">
        <v>4</v>
      </c>
      <c r="C11" s="28" t="s">
        <v>21</v>
      </c>
      <c r="D11" s="26" t="s">
        <v>22</v>
      </c>
      <c r="E11" s="19" t="s">
        <v>16</v>
      </c>
      <c r="F11" s="20"/>
      <c r="G11" s="72"/>
      <c r="H11" s="23"/>
      <c r="I11" s="60">
        <f>14%*H11</f>
        <v>0</v>
      </c>
      <c r="J11" s="64"/>
      <c r="K11" s="67"/>
    </row>
    <row r="12" spans="2:13" ht="219" customHeight="1" thickBot="1" x14ac:dyDescent="0.25">
      <c r="B12" s="24">
        <v>5</v>
      </c>
      <c r="C12" s="25" t="s">
        <v>23</v>
      </c>
      <c r="D12" s="29" t="s">
        <v>24</v>
      </c>
      <c r="E12" s="19" t="s">
        <v>16</v>
      </c>
      <c r="F12" s="20"/>
      <c r="G12" s="72"/>
      <c r="H12" s="23"/>
      <c r="I12" s="60">
        <f>10%*H12</f>
        <v>0</v>
      </c>
      <c r="J12" s="64"/>
      <c r="K12" s="67"/>
    </row>
    <row r="13" spans="2:13" ht="186" customHeight="1" thickBot="1" x14ac:dyDescent="0.25">
      <c r="B13" s="30">
        <v>6</v>
      </c>
      <c r="C13" s="31" t="s">
        <v>25</v>
      </c>
      <c r="D13" s="32" t="s">
        <v>26</v>
      </c>
      <c r="E13" s="19" t="s">
        <v>16</v>
      </c>
      <c r="F13" s="20"/>
      <c r="G13" s="72"/>
      <c r="H13" s="23"/>
      <c r="I13" s="60">
        <f>17%*H13</f>
        <v>0</v>
      </c>
      <c r="J13" s="64"/>
      <c r="K13" s="67"/>
    </row>
    <row r="14" spans="2:13" ht="127" customHeight="1" thickBot="1" x14ac:dyDescent="0.25">
      <c r="B14" s="33">
        <v>7</v>
      </c>
      <c r="C14" s="25" t="s">
        <v>27</v>
      </c>
      <c r="D14" s="32" t="s">
        <v>28</v>
      </c>
      <c r="E14" s="19" t="s">
        <v>16</v>
      </c>
      <c r="F14" s="20"/>
      <c r="G14" s="72"/>
      <c r="H14" s="23"/>
      <c r="I14" s="60">
        <f>7%*H14</f>
        <v>0</v>
      </c>
      <c r="J14" s="64"/>
      <c r="K14" s="67"/>
    </row>
    <row r="15" spans="2:13" ht="186" customHeight="1" thickBot="1" x14ac:dyDescent="0.25">
      <c r="B15" s="34">
        <v>8</v>
      </c>
      <c r="C15" s="35" t="s">
        <v>29</v>
      </c>
      <c r="D15" s="32" t="s">
        <v>30</v>
      </c>
      <c r="E15" s="19" t="s">
        <v>16</v>
      </c>
      <c r="F15" s="20"/>
      <c r="G15" s="72"/>
      <c r="H15" s="23"/>
      <c r="I15" s="60">
        <f>7%*H15</f>
        <v>0</v>
      </c>
      <c r="J15" s="64"/>
      <c r="K15" s="67"/>
    </row>
    <row r="16" spans="2:13" ht="203.25" customHeight="1" thickBot="1" x14ac:dyDescent="0.25">
      <c r="B16" s="36">
        <v>9</v>
      </c>
      <c r="C16" s="37" t="s">
        <v>31</v>
      </c>
      <c r="D16" s="38" t="s">
        <v>32</v>
      </c>
      <c r="E16" s="19" t="s">
        <v>16</v>
      </c>
      <c r="F16" s="39"/>
      <c r="G16" s="73"/>
      <c r="H16" s="40"/>
      <c r="I16" s="60">
        <f>7%*H16</f>
        <v>0</v>
      </c>
      <c r="J16" s="64"/>
      <c r="K16" s="67"/>
    </row>
    <row r="17" spans="2:13" ht="18.75" customHeight="1" thickBot="1" x14ac:dyDescent="0.25">
      <c r="B17" s="69" t="s">
        <v>33</v>
      </c>
      <c r="C17" s="74"/>
      <c r="D17" s="41"/>
      <c r="E17" s="42"/>
      <c r="F17" s="43" t="e">
        <f>25%*G18</f>
        <v>#DIV/0!</v>
      </c>
      <c r="G17" s="44"/>
      <c r="H17" s="44">
        <f>25%*SUM(I18:I22)</f>
        <v>0</v>
      </c>
      <c r="I17" s="45"/>
      <c r="J17" s="63"/>
      <c r="K17" s="67"/>
    </row>
    <row r="18" spans="2:13" ht="140.25" customHeight="1" thickBot="1" x14ac:dyDescent="0.25">
      <c r="B18" s="46">
        <v>10</v>
      </c>
      <c r="C18" s="47" t="s">
        <v>34</v>
      </c>
      <c r="D18" s="48" t="s">
        <v>35</v>
      </c>
      <c r="E18" s="19" t="s">
        <v>16</v>
      </c>
      <c r="F18" s="20"/>
      <c r="G18" s="75" t="e">
        <f>AVERAGE(F18:F22)</f>
        <v>#DIV/0!</v>
      </c>
      <c r="H18" s="20"/>
      <c r="I18" s="61">
        <f>10%*H18</f>
        <v>0</v>
      </c>
      <c r="J18" s="64"/>
      <c r="K18" s="67"/>
    </row>
    <row r="19" spans="2:13" ht="221.25" customHeight="1" thickBot="1" x14ac:dyDescent="0.25">
      <c r="B19" s="49">
        <v>11</v>
      </c>
      <c r="C19" s="50" t="s">
        <v>36</v>
      </c>
      <c r="D19" s="48" t="s">
        <v>37</v>
      </c>
      <c r="E19" s="19" t="s">
        <v>16</v>
      </c>
      <c r="F19" s="20"/>
      <c r="G19" s="72"/>
      <c r="H19" s="20"/>
      <c r="I19" s="60">
        <f>20%*H19</f>
        <v>0</v>
      </c>
      <c r="J19" s="64"/>
      <c r="K19" s="67"/>
    </row>
    <row r="20" spans="2:13" ht="186.75" customHeight="1" thickBot="1" x14ac:dyDescent="0.25">
      <c r="B20" s="49">
        <v>12</v>
      </c>
      <c r="C20" s="50" t="s">
        <v>38</v>
      </c>
      <c r="D20" s="48" t="s">
        <v>39</v>
      </c>
      <c r="E20" s="19" t="s">
        <v>16</v>
      </c>
      <c r="F20" s="20"/>
      <c r="G20" s="72"/>
      <c r="H20" s="20"/>
      <c r="I20" s="60">
        <f t="shared" ref="I20:I21" si="0">20%*H20</f>
        <v>0</v>
      </c>
      <c r="J20" s="64"/>
      <c r="K20" s="67"/>
    </row>
    <row r="21" spans="2:13" ht="186.75" customHeight="1" thickBot="1" x14ac:dyDescent="0.25">
      <c r="B21" s="49">
        <v>13</v>
      </c>
      <c r="C21" s="50" t="s">
        <v>40</v>
      </c>
      <c r="D21" s="48" t="s">
        <v>41</v>
      </c>
      <c r="E21" s="19" t="s">
        <v>16</v>
      </c>
      <c r="F21" s="20"/>
      <c r="G21" s="72"/>
      <c r="H21" s="20"/>
      <c r="I21" s="60">
        <f t="shared" si="0"/>
        <v>0</v>
      </c>
      <c r="J21" s="64"/>
      <c r="K21" s="67"/>
    </row>
    <row r="22" spans="2:13" ht="186.75" customHeight="1" thickBot="1" x14ac:dyDescent="0.25">
      <c r="B22" s="36">
        <v>14</v>
      </c>
      <c r="C22" s="51" t="s">
        <v>42</v>
      </c>
      <c r="D22" s="48" t="s">
        <v>43</v>
      </c>
      <c r="E22" s="19" t="s">
        <v>16</v>
      </c>
      <c r="F22" s="39"/>
      <c r="G22" s="73"/>
      <c r="H22" s="39"/>
      <c r="I22" s="60">
        <f>30%*H22</f>
        <v>0</v>
      </c>
      <c r="J22" s="64"/>
      <c r="K22" s="67"/>
    </row>
    <row r="23" spans="2:13" ht="18.75" customHeight="1" thickBot="1" x14ac:dyDescent="0.25">
      <c r="B23" s="69" t="s">
        <v>44</v>
      </c>
      <c r="C23" s="74"/>
      <c r="D23" s="52"/>
      <c r="E23" s="42"/>
      <c r="F23" s="43" t="e">
        <f>18%*G24</f>
        <v>#DIV/0!</v>
      </c>
      <c r="G23" s="44"/>
      <c r="H23" s="43">
        <f>18%*SUM(I24:I29)</f>
        <v>0</v>
      </c>
      <c r="I23" s="45"/>
      <c r="J23" s="63"/>
      <c r="K23" s="67"/>
    </row>
    <row r="24" spans="2:13" ht="134.5" customHeight="1" thickBot="1" x14ac:dyDescent="0.25">
      <c r="B24" s="46">
        <v>15</v>
      </c>
      <c r="C24" s="47" t="s">
        <v>45</v>
      </c>
      <c r="D24" s="48" t="s">
        <v>46</v>
      </c>
      <c r="E24" s="19" t="s">
        <v>16</v>
      </c>
      <c r="F24" s="20"/>
      <c r="G24" s="71" t="e">
        <f>AVERAGE(F24:F29)</f>
        <v>#DIV/0!</v>
      </c>
      <c r="H24" s="20"/>
      <c r="I24" s="58">
        <f>15%*H24</f>
        <v>0</v>
      </c>
      <c r="J24" s="64"/>
      <c r="K24" s="67"/>
      <c r="M24" s="57"/>
    </row>
    <row r="25" spans="2:13" ht="134.5" customHeight="1" thickBot="1" x14ac:dyDescent="0.25">
      <c r="B25" s="49">
        <v>16</v>
      </c>
      <c r="C25" s="50" t="s">
        <v>47</v>
      </c>
      <c r="D25" s="48" t="s">
        <v>48</v>
      </c>
      <c r="E25" s="19" t="s">
        <v>16</v>
      </c>
      <c r="F25" s="20"/>
      <c r="G25" s="72"/>
      <c r="H25" s="20"/>
      <c r="I25" s="60">
        <f>23%*H25</f>
        <v>0</v>
      </c>
      <c r="J25" s="64"/>
      <c r="K25" s="67"/>
    </row>
    <row r="26" spans="2:13" ht="138" customHeight="1" thickBot="1" x14ac:dyDescent="0.25">
      <c r="B26" s="49">
        <v>17</v>
      </c>
      <c r="C26" s="50" t="s">
        <v>49</v>
      </c>
      <c r="D26" s="48" t="s">
        <v>50</v>
      </c>
      <c r="E26" s="19" t="s">
        <v>16</v>
      </c>
      <c r="F26" s="20"/>
      <c r="G26" s="72"/>
      <c r="H26" s="20"/>
      <c r="I26" s="60">
        <f>20%*H26</f>
        <v>0</v>
      </c>
      <c r="J26" s="64"/>
      <c r="K26" s="67"/>
    </row>
    <row r="27" spans="2:13" ht="148.5" customHeight="1" thickBot="1" x14ac:dyDescent="0.25">
      <c r="B27" s="49">
        <v>18</v>
      </c>
      <c r="C27" s="50" t="s">
        <v>51</v>
      </c>
      <c r="D27" s="48" t="s">
        <v>52</v>
      </c>
      <c r="E27" s="19" t="s">
        <v>16</v>
      </c>
      <c r="F27" s="20"/>
      <c r="G27" s="72"/>
      <c r="H27" s="20"/>
      <c r="I27" s="60">
        <f>20%*H27</f>
        <v>0</v>
      </c>
      <c r="J27" s="64"/>
      <c r="K27" s="67"/>
    </row>
    <row r="28" spans="2:13" ht="141.75" customHeight="1" thickBot="1" x14ac:dyDescent="0.25">
      <c r="B28" s="49">
        <v>19</v>
      </c>
      <c r="C28" s="50" t="s">
        <v>53</v>
      </c>
      <c r="D28" s="48" t="s">
        <v>54</v>
      </c>
      <c r="E28" s="19" t="s">
        <v>16</v>
      </c>
      <c r="F28" s="20"/>
      <c r="G28" s="72"/>
      <c r="H28" s="20"/>
      <c r="I28" s="60">
        <f>11%*H28</f>
        <v>0</v>
      </c>
      <c r="J28" s="64"/>
      <c r="K28" s="67"/>
    </row>
    <row r="29" spans="2:13" ht="145" customHeight="1" thickBot="1" x14ac:dyDescent="0.25">
      <c r="B29" s="36">
        <v>20</v>
      </c>
      <c r="C29" s="51" t="s">
        <v>55</v>
      </c>
      <c r="D29" s="48" t="s">
        <v>56</v>
      </c>
      <c r="E29" s="19" t="s">
        <v>16</v>
      </c>
      <c r="F29" s="39"/>
      <c r="G29" s="73"/>
      <c r="H29" s="39"/>
      <c r="I29" s="60">
        <f>11%*H29</f>
        <v>0</v>
      </c>
      <c r="J29" s="64"/>
      <c r="K29" s="67"/>
    </row>
    <row r="30" spans="2:13" ht="18.75" customHeight="1" thickBot="1" x14ac:dyDescent="0.25">
      <c r="B30" s="69" t="s">
        <v>57</v>
      </c>
      <c r="C30" s="74"/>
      <c r="D30" s="41"/>
      <c r="E30" s="42"/>
      <c r="F30" s="43" t="e">
        <f>11%*G31</f>
        <v>#DIV/0!</v>
      </c>
      <c r="G30" s="44"/>
      <c r="H30" s="43">
        <f>11%*SUM(I31:I34)</f>
        <v>0</v>
      </c>
      <c r="I30" s="45"/>
      <c r="J30" s="63"/>
      <c r="K30" s="67"/>
    </row>
    <row r="31" spans="2:13" ht="230.25" customHeight="1" thickBot="1" x14ac:dyDescent="0.25">
      <c r="B31" s="46">
        <v>21</v>
      </c>
      <c r="C31" s="47" t="s">
        <v>58</v>
      </c>
      <c r="D31" s="48" t="s">
        <v>59</v>
      </c>
      <c r="E31" s="19" t="str">
        <f>$E$29</f>
        <v>https://drive.google.com/drive/folders/16qjiw5ihSUCgD0D0u7OXH5bBYiYdZEer?usp=drive_link</v>
      </c>
      <c r="F31" s="20"/>
      <c r="G31" s="75" t="e">
        <f>AVERAGE(F31:F34)</f>
        <v>#DIV/0!</v>
      </c>
      <c r="H31" s="20"/>
      <c r="I31" s="61">
        <f>30%*H31</f>
        <v>0</v>
      </c>
      <c r="J31" s="64"/>
      <c r="K31" s="67"/>
    </row>
    <row r="32" spans="2:13" ht="183.75" customHeight="1" thickBot="1" x14ac:dyDescent="0.25">
      <c r="B32" s="49">
        <v>22</v>
      </c>
      <c r="C32" s="50" t="s">
        <v>60</v>
      </c>
      <c r="D32" s="48" t="s">
        <v>61</v>
      </c>
      <c r="E32" s="19" t="str">
        <f t="shared" ref="E32:E34" si="1">$E$29</f>
        <v>https://drive.google.com/drive/folders/16qjiw5ihSUCgD0D0u7OXH5bBYiYdZEer?usp=drive_link</v>
      </c>
      <c r="F32" s="20"/>
      <c r="G32" s="72"/>
      <c r="H32" s="20"/>
      <c r="I32" s="60">
        <f>20%*H32</f>
        <v>0</v>
      </c>
      <c r="J32" s="64"/>
      <c r="K32" s="67"/>
    </row>
    <row r="33" spans="2:11" ht="203.25" customHeight="1" thickBot="1" x14ac:dyDescent="0.25">
      <c r="B33" s="49">
        <v>23</v>
      </c>
      <c r="C33" s="50" t="s">
        <v>62</v>
      </c>
      <c r="D33" s="53" t="s">
        <v>63</v>
      </c>
      <c r="E33" s="19" t="str">
        <f t="shared" si="1"/>
        <v>https://drive.google.com/drive/folders/16qjiw5ihSUCgD0D0u7OXH5bBYiYdZEer?usp=drive_link</v>
      </c>
      <c r="F33" s="20"/>
      <c r="G33" s="72"/>
      <c r="H33" s="20"/>
      <c r="I33" s="60">
        <f>20%*H33</f>
        <v>0</v>
      </c>
      <c r="J33" s="64"/>
      <c r="K33" s="67"/>
    </row>
    <row r="34" spans="2:11" ht="188.25" customHeight="1" thickBot="1" x14ac:dyDescent="0.25">
      <c r="B34" s="36">
        <v>24</v>
      </c>
      <c r="C34" s="51" t="s">
        <v>64</v>
      </c>
      <c r="D34" s="48" t="s">
        <v>65</v>
      </c>
      <c r="E34" s="19" t="str">
        <f t="shared" si="1"/>
        <v>https://drive.google.com/drive/folders/16qjiw5ihSUCgD0D0u7OXH5bBYiYdZEer?usp=drive_link</v>
      </c>
      <c r="F34" s="39"/>
      <c r="G34" s="73"/>
      <c r="H34" s="39"/>
      <c r="I34" s="61">
        <f>30%*H34</f>
        <v>0</v>
      </c>
      <c r="J34" s="64"/>
      <c r="K34" s="67"/>
    </row>
    <row r="35" spans="2:11" ht="18.75" customHeight="1" thickBot="1" x14ac:dyDescent="0.25">
      <c r="B35" s="69" t="s">
        <v>66</v>
      </c>
      <c r="C35" s="74"/>
      <c r="D35" s="41"/>
      <c r="E35" s="54"/>
      <c r="F35" s="55" t="e">
        <f>10%*G36</f>
        <v>#DIV/0!</v>
      </c>
      <c r="G35" s="14"/>
      <c r="H35" s="55">
        <f>10%*SUM(I36:I39)</f>
        <v>0</v>
      </c>
      <c r="I35" s="45"/>
      <c r="J35" s="63"/>
      <c r="K35" s="67"/>
    </row>
    <row r="36" spans="2:11" ht="211" customHeight="1" thickBot="1" x14ac:dyDescent="0.25">
      <c r="B36" s="46">
        <v>25</v>
      </c>
      <c r="C36" s="47" t="s">
        <v>67</v>
      </c>
      <c r="D36" s="56" t="s">
        <v>68</v>
      </c>
      <c r="E36" s="19" t="str">
        <f t="shared" ref="E36:E39" si="2">$E$29</f>
        <v>https://drive.google.com/drive/folders/16qjiw5ihSUCgD0D0u7OXH5bBYiYdZEer?usp=drive_link</v>
      </c>
      <c r="F36" s="20"/>
      <c r="G36" s="75" t="e">
        <f>AVERAGE(F36:F39)</f>
        <v>#DIV/0!</v>
      </c>
      <c r="H36" s="20"/>
      <c r="I36" s="61">
        <f>20%*H36</f>
        <v>0</v>
      </c>
      <c r="J36" s="64"/>
      <c r="K36" s="67"/>
    </row>
    <row r="37" spans="2:11" ht="211" customHeight="1" thickBot="1" x14ac:dyDescent="0.25">
      <c r="B37" s="49">
        <v>26</v>
      </c>
      <c r="C37" s="50" t="s">
        <v>69</v>
      </c>
      <c r="D37" s="56" t="s">
        <v>70</v>
      </c>
      <c r="E37" s="19" t="str">
        <f t="shared" si="2"/>
        <v>https://drive.google.com/drive/folders/16qjiw5ihSUCgD0D0u7OXH5bBYiYdZEer?usp=drive_link</v>
      </c>
      <c r="F37" s="20"/>
      <c r="G37" s="72"/>
      <c r="H37" s="20"/>
      <c r="I37" s="60">
        <f>25%*H37</f>
        <v>0</v>
      </c>
      <c r="J37" s="64"/>
      <c r="K37" s="67"/>
    </row>
    <row r="38" spans="2:11" ht="211" customHeight="1" thickBot="1" x14ac:dyDescent="0.25">
      <c r="B38" s="49">
        <v>27</v>
      </c>
      <c r="C38" s="50" t="s">
        <v>71</v>
      </c>
      <c r="D38" s="56" t="s">
        <v>72</v>
      </c>
      <c r="E38" s="19" t="str">
        <f t="shared" si="2"/>
        <v>https://drive.google.com/drive/folders/16qjiw5ihSUCgD0D0u7OXH5bBYiYdZEer?usp=drive_link</v>
      </c>
      <c r="F38" s="20"/>
      <c r="G38" s="72"/>
      <c r="H38" s="20"/>
      <c r="I38" s="60">
        <f>25%*H38</f>
        <v>0</v>
      </c>
      <c r="J38" s="64"/>
      <c r="K38" s="67"/>
    </row>
    <row r="39" spans="2:11" ht="211" customHeight="1" thickBot="1" x14ac:dyDescent="0.25">
      <c r="B39" s="36">
        <v>28</v>
      </c>
      <c r="C39" s="51" t="s">
        <v>73</v>
      </c>
      <c r="D39" s="56" t="s">
        <v>74</v>
      </c>
      <c r="E39" s="19" t="str">
        <f t="shared" si="2"/>
        <v>https://drive.google.com/drive/folders/16qjiw5ihSUCgD0D0u7OXH5bBYiYdZEer?usp=drive_link</v>
      </c>
      <c r="F39" s="39"/>
      <c r="G39" s="73"/>
      <c r="H39" s="39"/>
      <c r="I39" s="60">
        <f>30%*H39</f>
        <v>0</v>
      </c>
      <c r="J39" s="64"/>
      <c r="K39" s="67"/>
    </row>
    <row r="40" spans="2:11" ht="18.75" customHeight="1" thickBot="1" x14ac:dyDescent="0.25">
      <c r="B40" s="69" t="s">
        <v>75</v>
      </c>
      <c r="C40" s="74"/>
      <c r="D40" s="41"/>
      <c r="E40" s="42"/>
      <c r="F40" s="43" t="e">
        <f>12%*G41</f>
        <v>#DIV/0!</v>
      </c>
      <c r="G40" s="44"/>
      <c r="H40" s="43">
        <f>12%*SUM(I41:I42)</f>
        <v>0</v>
      </c>
      <c r="I40" s="45"/>
      <c r="J40" s="63"/>
      <c r="K40" s="67"/>
    </row>
    <row r="41" spans="2:11" ht="163" customHeight="1" thickBot="1" x14ac:dyDescent="0.25">
      <c r="B41" s="46">
        <v>29</v>
      </c>
      <c r="C41" s="47" t="s">
        <v>76</v>
      </c>
      <c r="D41" s="48" t="s">
        <v>77</v>
      </c>
      <c r="E41" s="19" t="str">
        <f>$E$39</f>
        <v>https://drive.google.com/drive/folders/16qjiw5ihSUCgD0D0u7OXH5bBYiYdZEer?usp=drive_link</v>
      </c>
      <c r="F41" s="20"/>
      <c r="G41" s="75" t="e">
        <f>AVERAGE(F41:F42)</f>
        <v>#DIV/0!</v>
      </c>
      <c r="H41" s="20"/>
      <c r="I41" s="61">
        <f>50%*H41</f>
        <v>0</v>
      </c>
      <c r="J41" s="64"/>
      <c r="K41" s="67"/>
    </row>
    <row r="42" spans="2:11" ht="203.5" customHeight="1" thickBot="1" x14ac:dyDescent="0.25">
      <c r="B42" s="36">
        <v>30</v>
      </c>
      <c r="C42" s="51" t="s">
        <v>78</v>
      </c>
      <c r="D42" s="48" t="s">
        <v>79</v>
      </c>
      <c r="E42" s="19"/>
      <c r="F42" s="20"/>
      <c r="G42" s="73"/>
      <c r="H42" s="20"/>
      <c r="I42" s="61">
        <f>50%*H42</f>
        <v>0</v>
      </c>
      <c r="J42" s="65"/>
      <c r="K42" s="68"/>
    </row>
  </sheetData>
  <mergeCells count="24">
    <mergeCell ref="B1:K1"/>
    <mergeCell ref="B2:K2"/>
    <mergeCell ref="B4:B5"/>
    <mergeCell ref="C4:C5"/>
    <mergeCell ref="D4:D5"/>
    <mergeCell ref="E4:E5"/>
    <mergeCell ref="F4:G4"/>
    <mergeCell ref="H4:I4"/>
    <mergeCell ref="J4:J5"/>
    <mergeCell ref="K4:K5"/>
    <mergeCell ref="J6:J42"/>
    <mergeCell ref="K6:K42"/>
    <mergeCell ref="B7:C7"/>
    <mergeCell ref="G8:G16"/>
    <mergeCell ref="B17:C17"/>
    <mergeCell ref="G18:G22"/>
    <mergeCell ref="B23:C23"/>
    <mergeCell ref="G24:G29"/>
    <mergeCell ref="B40:C40"/>
    <mergeCell ref="G41:G42"/>
    <mergeCell ref="B30:C30"/>
    <mergeCell ref="G31:G34"/>
    <mergeCell ref="B35:C35"/>
    <mergeCell ref="G36:G39"/>
  </mergeCells>
  <dataValidations count="1">
    <dataValidation type="list" allowBlank="1" showErrorMessage="1" sqref="F18:F22 F24:F29 H24:H29 H8:H16 F8:F16 H36:H39 H31:H34 F31:F34 F36:F39 H41:H42 H18:H22 F41:F42" xr:uid="{AC9590A6-7EB3-CD4E-8788-A3B174A23633}">
      <formula1>"0,1,2,3,4,5"</formula1>
    </dataValidation>
  </dataValidations>
  <pageMargins left="0.25" right="0.25" top="0.75" bottom="0.75" header="0.3" footer="0.3"/>
  <pageSetup paperSize="9" scale="5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Kertas Kerja</vt:lpstr>
      <vt:lpstr>'Kertas Kerja'!Print_Area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Firdaus</dc:creator>
  <cp:lastModifiedBy>Mohammad Firdaus</cp:lastModifiedBy>
  <dcterms:created xsi:type="dcterms:W3CDTF">2026-01-28T01:56:30Z</dcterms:created>
  <dcterms:modified xsi:type="dcterms:W3CDTF">2026-06-28T09:21:59Z</dcterms:modified>
</cp:coreProperties>
</file>